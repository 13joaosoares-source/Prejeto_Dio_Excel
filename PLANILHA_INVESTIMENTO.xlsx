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ocuments\"/>
    </mc:Choice>
  </mc:AlternateContent>
  <xr:revisionPtr revIDLastSave="0" documentId="13_ncr:1_{0BBBC93C-9EE0-4622-A917-2989F4E2E641}" xr6:coauthVersionLast="45" xr6:coauthVersionMax="45" xr10:uidLastSave="{00000000-0000-0000-0000-000000000000}"/>
  <bookViews>
    <workbookView xWindow="-120" yWindow="-120" windowWidth="29040" windowHeight="15840" tabRatio="221" xr2:uid="{63D5A29D-9730-4986-93C7-F960B89CAE51}"/>
  </bookViews>
  <sheets>
    <sheet name="APP" sheetId="1" r:id="rId1"/>
    <sheet name="BASE" sheetId="2" r:id="rId2"/>
  </sheets>
  <definedNames>
    <definedName name="aporte">APP!$D$16</definedName>
    <definedName name="patrimonio">APP!$D$19</definedName>
    <definedName name="qtd_anos">APP!$D$17</definedName>
    <definedName name="rendimento_carteira">APP!$D$12</definedName>
    <definedName name="salario">APP!$D$11</definedName>
    <definedName name="sugestao_investimento">APP!$D$13</definedName>
    <definedName name="tx_mensal">APP!$D$18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D37" i="1" s="1"/>
  <c r="C38" i="1"/>
  <c r="D38" i="1" s="1"/>
  <c r="C39" i="1"/>
  <c r="C34" i="1"/>
  <c r="G5" i="2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C31" i="1"/>
  <c r="D19" i="1"/>
  <c r="D20" i="1" s="1"/>
  <c r="D13" i="1"/>
  <c r="C24" i="1"/>
  <c r="D24" i="1" s="1"/>
  <c r="C25" i="1"/>
  <c r="D25" i="1" s="1"/>
  <c r="C26" i="1"/>
  <c r="D26" i="1" s="1"/>
  <c r="C27" i="1"/>
  <c r="D27" i="1" s="1"/>
  <c r="C23" i="1"/>
  <c r="D23" i="1" s="1"/>
  <c r="D35" i="1" l="1"/>
  <c r="D34" i="1"/>
  <c r="D39" i="1"/>
  <c r="D36" i="1"/>
  <c r="D40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<sst xmlns="http://schemas.openxmlformats.org/spreadsheetml/2006/main" count="70" uniqueCount="34">
  <si>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</si>
  <si>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</si>
  <si>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rendimentos mensais?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</si>
  <si>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</si>
  <si>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</si>
  <si>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</si>
  <si>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</si>
  <si>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</si>
  <si>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</si>
  <si>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</si>
  <si>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</si>
  <si>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</si>
  <si>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</si>
  <si>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</si>
  <si>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</si>
  <si>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</si>
  <si>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AGRESSIVO</t>
  </si>
  <si>
    <t>PERFIL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</si>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</sst>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20"/>
      <color theme="0"/>
      <name val="Segoe UI Semibold"/>
      <family val="2"/>
    </font>
    <font>
      <b/>
      <sz val="18"/>
      <color theme="0"/>
      <name val="Segoe UI Semibold"/>
      <family val="2"/>
    </font>
    <font>
      <b/>
      <sz val="14"/>
      <color theme="0"/>
      <name val="Segoe UI Semibold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4">
    <xf numFmtId="0" fontId="0" fillId="0" borderId="0" xfId="0"/>
    <xf numFmtId="0" fontId="4" fillId="7" borderId="0" xfId="0" applyFont="1" applyFill="1"/>
    <xf numFmtId="0" fontId="0" fillId="0" borderId="0" xfId="0" applyAlignment="1">
      <alignment horizontal="center"/>
    </xf>
    <xf numFmtId="165" fontId="0" fillId="6" borderId="11" xfId="0" applyNumberFormat="1" applyFill="1" applyBorder="1" applyAlignment="1">
      <alignment horizontal="center"/>
    </xf>
    <xf numFmtId="165" fontId="0" fillId="6" borderId="12" xfId="0" applyNumberFormat="1" applyFill="1" applyBorder="1" applyAlignment="1">
      <alignment horizontal="center"/>
    </xf>
    <xf numFmtId="0" fontId="5" fillId="6" borderId="3" xfId="0" applyFont="1" applyFill="1" applyBorder="1" applyAlignment="1">
      <alignment horizontal="left" indent="3"/>
    </xf>
    <xf numFmtId="165" fontId="0" fillId="6" borderId="4" xfId="0" applyNumberFormat="1" applyFill="1" applyBorder="1" applyAlignment="1">
      <alignment horizontal="center"/>
    </xf>
    <xf numFmtId="0" fontId="5" fillId="6" borderId="5" xfId="0" applyFont="1" applyFill="1" applyBorder="1" applyAlignment="1">
      <alignment horizontal="left" indent="3"/>
    </xf>
    <xf numFmtId="165" fontId="0" fillId="6" borderId="6" xfId="0" applyNumberFormat="1" applyFill="1" applyBorder="1" applyAlignment="1">
      <alignment horizontal="center"/>
    </xf>
    <xf numFmtId="0" fontId="5" fillId="6" borderId="7" xfId="0" applyFont="1" applyFill="1" applyBorder="1" applyAlignment="1">
      <alignment horizontal="left" indent="3"/>
    </xf>
    <xf numFmtId="165" fontId="0" fillId="6" borderId="13" xfId="0" applyNumberFormat="1" applyFill="1" applyBorder="1" applyAlignment="1">
      <alignment horizontal="center"/>
    </xf>
    <xf numFmtId="165" fontId="0" fillId="6" borderId="8" xfId="0" applyNumberForma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165" fontId="0" fillId="0" borderId="17" xfId="0" applyNumberForma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65" fontId="0" fillId="5" borderId="22" xfId="0" applyNumberFormat="1" applyFill="1" applyBorder="1" applyAlignment="1">
      <alignment horizontal="center"/>
    </xf>
    <xf numFmtId="165" fontId="3" fillId="5" borderId="17" xfId="1" applyNumberFormat="1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164" fontId="3" fillId="5" borderId="19" xfId="0" applyNumberFormat="1" applyFont="1" applyFill="1" applyBorder="1" applyAlignment="1">
      <alignment horizontal="center"/>
    </xf>
    <xf numFmtId="8" fontId="3" fillId="6" borderId="19" xfId="0" applyNumberFormat="1" applyFont="1" applyFill="1" applyBorder="1" applyAlignment="1">
      <alignment horizontal="center"/>
    </xf>
    <xf numFmtId="8" fontId="3" fillId="6" borderId="22" xfId="0" applyNumberFormat="1" applyFont="1" applyFill="1" applyBorder="1" applyAlignment="1">
      <alignment horizontal="center"/>
    </xf>
    <xf numFmtId="0" fontId="2" fillId="2" borderId="0" xfId="3" applyBorder="1" applyAlignment="1">
      <alignment horizontal="left" indent="3"/>
    </xf>
    <xf numFmtId="0" fontId="2" fillId="2" borderId="0" xfId="3"/>
    <xf numFmtId="165" fontId="0" fillId="0" borderId="0" xfId="0" applyNumberFormat="1"/>
    <xf numFmtId="0" fontId="0" fillId="5" borderId="0" xfId="0" applyFill="1"/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9" borderId="0" xfId="0" applyFont="1" applyFill="1" applyAlignment="1">
      <alignment horizontal="center"/>
    </xf>
    <xf numFmtId="0" fontId="0" fillId="9" borderId="0" xfId="0" applyFill="1"/>
    <xf numFmtId="165" fontId="3" fillId="9" borderId="0" xfId="0" applyNumberFormat="1" applyFont="1" applyFill="1"/>
    <xf numFmtId="0" fontId="3" fillId="0" borderId="0" xfId="0" applyFont="1" applyFill="1" applyAlignment="1">
      <alignment horizontal="center"/>
    </xf>
    <xf numFmtId="0" fontId="3" fillId="0" borderId="0" xfId="0" applyFont="1"/>
    <xf numFmtId="0" fontId="0" fillId="0" borderId="10" xfId="0" applyBorder="1"/>
    <xf numFmtId="0" fontId="0" fillId="0" borderId="10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0" xfId="0" applyNumberFormat="1" applyBorder="1" applyAlignment="1">
      <alignment horizontal="center"/>
    </xf>
    <xf numFmtId="9" fontId="2" fillId="2" borderId="0" xfId="2" applyFont="1" applyFill="1"/>
    <xf numFmtId="0" fontId="5" fillId="5" borderId="16" xfId="0" applyFont="1" applyFill="1" applyBorder="1" applyAlignment="1">
      <alignment horizontal="left" indent="3"/>
    </xf>
    <xf numFmtId="0" fontId="5" fillId="5" borderId="14" xfId="0" applyFont="1" applyFill="1" applyBorder="1" applyAlignment="1">
      <alignment horizontal="left" indent="3"/>
    </xf>
    <xf numFmtId="0" fontId="5" fillId="5" borderId="18" xfId="0" applyFont="1" applyFill="1" applyBorder="1" applyAlignment="1">
      <alignment horizontal="left" indent="3"/>
    </xf>
    <xf numFmtId="0" fontId="5" fillId="5" borderId="15" xfId="0" applyFont="1" applyFill="1" applyBorder="1" applyAlignment="1">
      <alignment horizontal="left" indent="3"/>
    </xf>
    <xf numFmtId="0" fontId="5" fillId="5" borderId="20" xfId="0" applyFont="1" applyFill="1" applyBorder="1" applyAlignment="1">
      <alignment horizontal="left" indent="3"/>
    </xf>
    <xf numFmtId="0" fontId="5" fillId="5" borderId="21" xfId="0" applyFont="1" applyFill="1" applyBorder="1" applyAlignment="1">
      <alignment horizontal="left" indent="3"/>
    </xf>
    <xf numFmtId="0" fontId="8" fillId="8" borderId="1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left" indent="3"/>
    </xf>
    <xf numFmtId="0" fontId="6" fillId="4" borderId="15" xfId="0" applyFont="1" applyFill="1" applyBorder="1" applyAlignment="1">
      <alignment horizontal="left" indent="3"/>
    </xf>
    <xf numFmtId="0" fontId="6" fillId="4" borderId="20" xfId="0" applyFont="1" applyFill="1" applyBorder="1" applyAlignment="1">
      <alignment horizontal="left" indent="3"/>
    </xf>
    <xf numFmtId="0" fontId="6" fillId="4" borderId="21" xfId="0" applyFont="1" applyFill="1" applyBorder="1" applyAlignment="1">
      <alignment horizontal="left" indent="3"/>
    </xf>
    <xf numFmtId="0" fontId="7" fillId="3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APP!$C$33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D0-4AEA-8559-82EC696C03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D0-4AEA-8559-82EC696C03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D0-4AEA-8559-82EC696C03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D0-4AEA-8559-82EC696C03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5D0-4AEA-8559-82EC696C03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5D0-4AEA-8559-82EC696C03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C-48F7-8E6E-E4CF4BAC7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40</xdr:row>
      <xdr:rowOff>71437</xdr:rowOff>
    </xdr:from>
    <xdr:to>
      <xdr:col>3</xdr:col>
      <xdr:colOff>1095374</xdr:colOff>
      <xdr:row>54</xdr:row>
      <xdr:rowOff>147637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A32DB7-A465-4191-B39A-DA3A385B3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314325</xdr:colOff>
      <xdr:row>0</xdr:row>
      <xdr:rowOff>76201</xdr:rowOff>
    </xdr:from>
    <xdr:to>
      <xdr:col>3</xdr:col>
      <xdr:colOff>876299</xdr:colOff>
      <xdr:row>8</xdr:row>
      <xdr:rowOff>104775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2F3BB2A-3742-49BA-A3B8-494BEEDF3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09" t="27400" r="5373" b="35903"/>
        <a:stretch/>
      </xdr:blipFill>
      <xdr:spPr>
        <a:xfrm>
          <a:off x="314325" y="76201"/>
          <a:ext cx="6086474" cy="1552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E48F-A2FA-45D4-839D-68AB302E02C4}">
  <dimension ref="A9:XFC40"/>
  <sheetViews>
    <sheetView showGridLines="0" tabSelected="1" zoomScale="85" zoomScaleNormal="85" workbookViewId="0">
      <selection activeCell="B12" sqref="B12:C12"/>
    </sheetView>
  </sheetViews>
  <sheetFormatPr defaultColWidth="0" defaultRowHeight="15" x14ac:dyDescent="0.25"/>
  <cols>
    <col min="1" max="1" width="5.140625" customWidth="1"/>
    <col min="2" max="2" width="58.5703125" customWidth="1"/>
    <col min="3" max="3" width="19.140625" bestFit="1" customWidth="1"/>
    <col min="4" max="4" width="16.42578125" bestFit="1" customWidth="1"/>
    <col min="5" max="5" width="5.140625" customWidth="1"/>
    <col min="6" max="9" width="1.42578125" hidden="1" customWidth="1"/>
    <col min="10" max="16382" width="9.140625" hidden="1"/>
    <col min="16383" max="16383" width="9.140625" hidden="1" customWidth="1"/>
    <col min="16384" max="16384" width="0.5703125" hidden="1" customWidth="1"/>
  </cols>
  <sheetData>
    <row r="9" spans="2:4" ht="15.75" thickBot="1" x14ac:dyDescent="0.3"/>
    <row r="10" spans="2:4" ht="26.25" x14ac:dyDescent="0.25">
      <c r="B10" s="44" t="s">
        <v>13</v>
      </c>
      <c r="C10" s="45"/>
      <c r="D10" s="46"/>
    </row>
    <row r="11" spans="2:4" ht="18" thickBot="1" x14ac:dyDescent="0.35">
      <c r="B11" s="38" t="s">
        <v>15</v>
      </c>
      <c r="C11" s="39"/>
      <c r="D11" s="13">
        <v>5000</v>
      </c>
    </row>
    <row r="12" spans="2:4" ht="18" thickBot="1" x14ac:dyDescent="0.35">
      <c r="B12" s="40" t="s">
        <v>14</v>
      </c>
      <c r="C12" s="41"/>
      <c r="D12" s="14">
        <v>0.01</v>
      </c>
    </row>
    <row r="13" spans="2:4" ht="18" thickBot="1" x14ac:dyDescent="0.35">
      <c r="B13" s="42" t="s">
        <v>33</v>
      </c>
      <c r="C13" s="43"/>
      <c r="D13" s="15">
        <f>D11*30%</f>
        <v>1500</v>
      </c>
    </row>
    <row r="14" spans="2:4" ht="15.75" thickBot="1" x14ac:dyDescent="0.3"/>
    <row r="15" spans="2:4" ht="33" customHeight="1" x14ac:dyDescent="0.25">
      <c r="B15" s="47" t="s">
        <v>5</v>
      </c>
      <c r="C15" s="48"/>
      <c r="D15" s="53"/>
    </row>
    <row r="16" spans="2:4" ht="18" thickBot="1" x14ac:dyDescent="0.35">
      <c r="B16" s="38" t="s">
        <v>0</v>
      </c>
      <c r="C16" s="39"/>
      <c r="D16" s="16">
        <v>500</v>
      </c>
    </row>
    <row r="17" spans="1:4" ht="18" thickBot="1" x14ac:dyDescent="0.35">
      <c r="B17" s="40" t="s">
        <v>1</v>
      </c>
      <c r="C17" s="41"/>
      <c r="D17" s="17">
        <v>5</v>
      </c>
    </row>
    <row r="18" spans="1:4" ht="18" thickBot="1" x14ac:dyDescent="0.35">
      <c r="B18" s="40" t="s">
        <v>2</v>
      </c>
      <c r="C18" s="41"/>
      <c r="D18" s="18">
        <v>1.0789999999999999E-2</v>
      </c>
    </row>
    <row r="19" spans="1:4" ht="18" thickBot="1" x14ac:dyDescent="0.35">
      <c r="B19" s="49" t="s">
        <v>3</v>
      </c>
      <c r="C19" s="50"/>
      <c r="D19" s="19">
        <f>FV(tx_mensal,qtd_anos*12,aporte*-1)</f>
        <v>41888.456999243819</v>
      </c>
    </row>
    <row r="20" spans="1:4" ht="18" thickBot="1" x14ac:dyDescent="0.35">
      <c r="B20" s="51" t="s">
        <v>4</v>
      </c>
      <c r="C20" s="52"/>
      <c r="D20" s="20">
        <f>patrimonio*rendimento_carteira</f>
        <v>418.88456999243817</v>
      </c>
    </row>
    <row r="21" spans="1:4" ht="15.75" thickBot="1" x14ac:dyDescent="0.3"/>
    <row r="22" spans="1:4" ht="30.75" x14ac:dyDescent="0.25">
      <c r="B22" s="47" t="s">
        <v>11</v>
      </c>
      <c r="C22" s="48"/>
      <c r="D22" s="12" t="s">
        <v>12</v>
      </c>
    </row>
    <row r="23" spans="1:4" ht="18" thickBot="1" x14ac:dyDescent="0.35">
      <c r="A23" s="1">
        <v>2</v>
      </c>
      <c r="B23" s="5" t="s">
        <v>6</v>
      </c>
      <c r="C23" s="3">
        <f>FV($D$18,$A23*12,$D$16*-1)</f>
        <v>13613.813648822608</v>
      </c>
      <c r="D23" s="6">
        <f>C23*rendimento_carteira</f>
        <v>136.13813648822608</v>
      </c>
    </row>
    <row r="24" spans="1:4" ht="18" thickBot="1" x14ac:dyDescent="0.35">
      <c r="A24" s="1">
        <v>5</v>
      </c>
      <c r="B24" s="7" t="s">
        <v>7</v>
      </c>
      <c r="C24" s="4">
        <f>FV($D$18,$A24*12,$D$16*-1)</f>
        <v>41888.456999243819</v>
      </c>
      <c r="D24" s="8">
        <f>C24*rendimento_carteira</f>
        <v>418.88456999243817</v>
      </c>
    </row>
    <row r="25" spans="1:4" ht="18" thickBot="1" x14ac:dyDescent="0.35">
      <c r="A25" s="1">
        <v>10</v>
      </c>
      <c r="B25" s="7" t="s">
        <v>8</v>
      </c>
      <c r="C25" s="4">
        <f>FV($D$18,$A25*12,$D$16*-1)</f>
        <v>121642.1062650861</v>
      </c>
      <c r="D25" s="8">
        <f>C25*rendimento_carteira</f>
        <v>1216.4210626508609</v>
      </c>
    </row>
    <row r="26" spans="1:4" ht="18" thickBot="1" x14ac:dyDescent="0.35">
      <c r="A26" s="1">
        <v>20</v>
      </c>
      <c r="B26" s="7" t="s">
        <v>9</v>
      </c>
      <c r="C26" s="4">
        <f>FV($D$18,$A26*12,$D$16*-1)</f>
        <v>562599.20004854025</v>
      </c>
      <c r="D26" s="8">
        <f>C26*rendimento_carteira</f>
        <v>5625.992000485403</v>
      </c>
    </row>
    <row r="27" spans="1:4" ht="18" thickBot="1" x14ac:dyDescent="0.35">
      <c r="A27" s="1">
        <v>30</v>
      </c>
      <c r="B27" s="9" t="s">
        <v>10</v>
      </c>
      <c r="C27" s="10">
        <f>FV($D$18,$A27*12,$D$16*-1)</f>
        <v>2161084.8275023573</v>
      </c>
      <c r="D27" s="11">
        <f>C27*rendimento_carteira</f>
        <v>21610.848275023574</v>
      </c>
    </row>
    <row r="30" spans="1:4" x14ac:dyDescent="0.25">
      <c r="B30" s="21" t="s">
        <v>17</v>
      </c>
      <c r="C30" s="22" t="s">
        <v>19</v>
      </c>
      <c r="D30" s="22"/>
    </row>
    <row r="31" spans="1:4" x14ac:dyDescent="0.25">
      <c r="B31" s="25" t="s">
        <v>20</v>
      </c>
      <c r="C31" s="26">
        <f>aporte</f>
        <v>500</v>
      </c>
      <c r="D31" s="24"/>
    </row>
    <row r="33" spans="2:4" x14ac:dyDescent="0.25">
      <c r="B33" s="28" t="s">
        <v>21</v>
      </c>
      <c r="C33" s="28" t="s">
        <v>22</v>
      </c>
      <c r="D33" s="28" t="s">
        <v>23</v>
      </c>
    </row>
    <row r="34" spans="2:4" x14ac:dyDescent="0.25">
      <c r="B34" s="2" t="s">
        <v>24</v>
      </c>
      <c r="C34" s="35">
        <f>VLOOKUP($C$30&amp;"-"&amp;B34,BASE!$A:$D,4,)</f>
        <v>0.32</v>
      </c>
      <c r="D34" s="23">
        <f>C34*$C$31</f>
        <v>160</v>
      </c>
    </row>
    <row r="35" spans="2:4" x14ac:dyDescent="0.25">
      <c r="B35" s="2" t="s">
        <v>25</v>
      </c>
      <c r="C35" s="35">
        <f>VLOOKUP($C$30&amp;"-"&amp;B35,BASE!$A:$D,4,)</f>
        <v>0.35</v>
      </c>
      <c r="D35" s="23">
        <f t="shared" ref="D35:D39" si="0">C35*$C$31</f>
        <v>175</v>
      </c>
    </row>
    <row r="36" spans="2:4" x14ac:dyDescent="0.25">
      <c r="B36" s="2" t="s">
        <v>26</v>
      </c>
      <c r="C36" s="35">
        <f>VLOOKUP($C$30&amp;"-"&amp;B36,BASE!$A:$D,4,)</f>
        <v>0.08</v>
      </c>
      <c r="D36" s="23">
        <f t="shared" si="0"/>
        <v>40</v>
      </c>
    </row>
    <row r="37" spans="2:4" x14ac:dyDescent="0.25">
      <c r="B37" s="2" t="s">
        <v>27</v>
      </c>
      <c r="C37" s="35">
        <f>VLOOKUP($C$30&amp;"-"&amp;B37,BASE!$A:$D,4,)</f>
        <v>0.05</v>
      </c>
      <c r="D37" s="23">
        <f t="shared" si="0"/>
        <v>25</v>
      </c>
    </row>
    <row r="38" spans="2:4" x14ac:dyDescent="0.25">
      <c r="B38" s="2" t="s">
        <v>28</v>
      </c>
      <c r="C38" s="35">
        <f>VLOOKUP($C$30&amp;"-"&amp;B38,BASE!$A:$D,4,)</f>
        <v>0.1</v>
      </c>
      <c r="D38" s="23">
        <f t="shared" si="0"/>
        <v>50</v>
      </c>
    </row>
    <row r="39" spans="2:4" x14ac:dyDescent="0.25">
      <c r="B39" s="2" t="s">
        <v>29</v>
      </c>
      <c r="C39" s="35">
        <f>VLOOKUP($C$30&amp;"-"&amp;B39,BASE!$A:$D,4,)</f>
        <v>0.1</v>
      </c>
      <c r="D39" s="23">
        <f t="shared" si="0"/>
        <v>50</v>
      </c>
    </row>
    <row r="40" spans="2:4" x14ac:dyDescent="0.25">
      <c r="B40" s="29"/>
      <c r="C40" s="29"/>
      <c r="D40" s="30">
        <f>SUM(D34:D39)</f>
        <v>500</v>
      </c>
    </row>
  </sheetData>
  <mergeCells count="11">
    <mergeCell ref="B11:C11"/>
    <mergeCell ref="B12:C12"/>
    <mergeCell ref="B13:C13"/>
    <mergeCell ref="B10:D10"/>
    <mergeCell ref="B22:C22"/>
    <mergeCell ref="B16:C16"/>
    <mergeCell ref="B17:C17"/>
    <mergeCell ref="B18:C18"/>
    <mergeCell ref="B19:C19"/>
    <mergeCell ref="B20:C20"/>
    <mergeCell ref="B15:D15"/>
  </mergeCells>
  <dataValidations count="1">
    <dataValidation type="list" allowBlank="1" showInputMessage="1" showErrorMessage="1" sqref="C30" xr:uid="{C344E8AB-5789-44FA-9A53-1C18C91AC2BE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1454-7D7D-4CB4-9C7C-981F492D59AF}">
  <dimension ref="A3:G21"/>
  <sheetViews>
    <sheetView workbookViewId="0">
      <selection activeCell="D16" sqref="D16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4" max="4" width="9.140625" style="2"/>
    <col min="6" max="6" width="18.5703125" bestFit="1" customWidth="1"/>
  </cols>
  <sheetData>
    <row r="3" spans="1:7" x14ac:dyDescent="0.25">
      <c r="A3" s="32" t="s">
        <v>31</v>
      </c>
      <c r="B3" s="32" t="s">
        <v>17</v>
      </c>
      <c r="C3" s="31" t="s">
        <v>21</v>
      </c>
      <c r="D3" s="27" t="s">
        <v>30</v>
      </c>
    </row>
    <row r="4" spans="1:7" x14ac:dyDescent="0.25">
      <c r="A4" t="str">
        <f>B4&amp;"-"&amp;C4</f>
        <v>CONSERVADOR-PAPEL</v>
      </c>
      <c r="B4" t="s">
        <v>18</v>
      </c>
      <c r="C4" s="2" t="s">
        <v>24</v>
      </c>
      <c r="D4" s="35">
        <v>0.3</v>
      </c>
    </row>
    <row r="5" spans="1:7" x14ac:dyDescent="0.25">
      <c r="A5" t="str">
        <f t="shared" ref="A5:A21" si="0">B5&amp;"-"&amp;C5</f>
        <v>CONSERVADOR-TIJOLO</v>
      </c>
      <c r="B5" t="s">
        <v>18</v>
      </c>
      <c r="C5" s="2" t="s">
        <v>25</v>
      </c>
      <c r="D5" s="35">
        <v>0.5</v>
      </c>
      <c r="F5" s="22" t="s">
        <v>32</v>
      </c>
      <c r="G5" s="37">
        <f>VLOOKUP(F5,A3:D21,4,)</f>
        <v>0.35</v>
      </c>
    </row>
    <row r="6" spans="1:7" x14ac:dyDescent="0.25">
      <c r="A6" t="str">
        <f t="shared" si="0"/>
        <v>CONSERVADOR-HIBRIDOS</v>
      </c>
      <c r="B6" t="s">
        <v>18</v>
      </c>
      <c r="C6" s="2" t="s">
        <v>26</v>
      </c>
      <c r="D6" s="35">
        <v>0.1</v>
      </c>
    </row>
    <row r="7" spans="1:7" x14ac:dyDescent="0.25">
      <c r="A7" t="str">
        <f t="shared" si="0"/>
        <v>CONSERVADOR-FOFs</v>
      </c>
      <c r="B7" t="s">
        <v>18</v>
      </c>
      <c r="C7" s="2" t="s">
        <v>27</v>
      </c>
      <c r="D7" s="35">
        <v>0.1</v>
      </c>
    </row>
    <row r="8" spans="1:7" x14ac:dyDescent="0.25">
      <c r="A8" t="str">
        <f t="shared" si="0"/>
        <v>CONSERVADOR-DESENVOLVIMENTO</v>
      </c>
      <c r="B8" t="s">
        <v>18</v>
      </c>
      <c r="C8" s="2" t="s">
        <v>28</v>
      </c>
      <c r="D8" s="35">
        <v>0</v>
      </c>
    </row>
    <row r="9" spans="1:7" ht="15.75" thickBot="1" x14ac:dyDescent="0.3">
      <c r="A9" s="33" t="str">
        <f t="shared" si="0"/>
        <v>CONSERVADOR-HOTELARIAS</v>
      </c>
      <c r="B9" s="33" t="s">
        <v>18</v>
      </c>
      <c r="C9" s="34" t="s">
        <v>29</v>
      </c>
      <c r="D9" s="36">
        <v>0</v>
      </c>
    </row>
    <row r="10" spans="1:7" x14ac:dyDescent="0.25">
      <c r="A10" t="str">
        <f t="shared" si="0"/>
        <v>MODERADO-PAPEL</v>
      </c>
      <c r="B10" t="s">
        <v>19</v>
      </c>
      <c r="C10" s="2" t="s">
        <v>24</v>
      </c>
      <c r="D10" s="35">
        <v>0.32</v>
      </c>
    </row>
    <row r="11" spans="1:7" x14ac:dyDescent="0.25">
      <c r="A11" t="str">
        <f t="shared" si="0"/>
        <v>MODERADO-TIJOLO</v>
      </c>
      <c r="B11" t="s">
        <v>19</v>
      </c>
      <c r="C11" s="2" t="s">
        <v>25</v>
      </c>
      <c r="D11" s="35">
        <v>0.35</v>
      </c>
    </row>
    <row r="12" spans="1:7" x14ac:dyDescent="0.25">
      <c r="A12" t="str">
        <f t="shared" si="0"/>
        <v>MODERADO-HIBRIDOS</v>
      </c>
      <c r="B12" t="s">
        <v>19</v>
      </c>
      <c r="C12" s="2" t="s">
        <v>26</v>
      </c>
      <c r="D12" s="35">
        <v>0.08</v>
      </c>
    </row>
    <row r="13" spans="1:7" x14ac:dyDescent="0.25">
      <c r="A13" t="str">
        <f t="shared" si="0"/>
        <v>MODERADO-FOFs</v>
      </c>
      <c r="B13" t="s">
        <v>19</v>
      </c>
      <c r="C13" s="2" t="s">
        <v>27</v>
      </c>
      <c r="D13" s="35">
        <v>0.05</v>
      </c>
    </row>
    <row r="14" spans="1:7" x14ac:dyDescent="0.25">
      <c r="A14" t="str">
        <f t="shared" si="0"/>
        <v>MODERADO-DESENVOLVIMENTO</v>
      </c>
      <c r="B14" t="s">
        <v>19</v>
      </c>
      <c r="C14" s="2" t="s">
        <v>28</v>
      </c>
      <c r="D14" s="35">
        <v>0.1</v>
      </c>
    </row>
    <row r="15" spans="1:7" ht="15.75" thickBot="1" x14ac:dyDescent="0.3">
      <c r="A15" s="33" t="str">
        <f t="shared" si="0"/>
        <v>MODERADO-HOTELARIAS</v>
      </c>
      <c r="B15" s="33" t="s">
        <v>19</v>
      </c>
      <c r="C15" s="34" t="s">
        <v>29</v>
      </c>
      <c r="D15" s="36">
        <v>0.1</v>
      </c>
    </row>
    <row r="16" spans="1:7" x14ac:dyDescent="0.25">
      <c r="A16" t="str">
        <f t="shared" si="0"/>
        <v>AGRESSIVO-PAPEL</v>
      </c>
      <c r="B16" t="s">
        <v>16</v>
      </c>
      <c r="C16" s="2" t="s">
        <v>24</v>
      </c>
      <c r="D16" s="35">
        <v>0.5</v>
      </c>
    </row>
    <row r="17" spans="1:4" x14ac:dyDescent="0.25">
      <c r="A17" t="str">
        <f t="shared" si="0"/>
        <v>AGRESSIVO-TIJOLO</v>
      </c>
      <c r="B17" t="s">
        <v>16</v>
      </c>
      <c r="C17" s="2" t="s">
        <v>25</v>
      </c>
      <c r="D17" s="35">
        <v>0.1</v>
      </c>
    </row>
    <row r="18" spans="1:4" x14ac:dyDescent="0.25">
      <c r="A18" t="str">
        <f t="shared" si="0"/>
        <v>AGRESSIVO-HIBRIDOS</v>
      </c>
      <c r="B18" t="s">
        <v>16</v>
      </c>
      <c r="C18" s="2" t="s">
        <v>26</v>
      </c>
      <c r="D18" s="35">
        <v>0.05</v>
      </c>
    </row>
    <row r="19" spans="1:4" x14ac:dyDescent="0.25">
      <c r="A19" t="str">
        <f t="shared" si="0"/>
        <v>AGRESSIVO-FOFs</v>
      </c>
      <c r="B19" t="s">
        <v>16</v>
      </c>
      <c r="C19" s="2" t="s">
        <v>27</v>
      </c>
      <c r="D19" s="35">
        <v>0.05</v>
      </c>
    </row>
    <row r="20" spans="1:4" x14ac:dyDescent="0.25">
      <c r="A20" t="str">
        <f t="shared" si="0"/>
        <v>AGRESSIVO-DESENVOLVIMENTO</v>
      </c>
      <c r="B20" t="s">
        <v>16</v>
      </c>
      <c r="C20" s="2" t="s">
        <v>28</v>
      </c>
      <c r="D20" s="35">
        <v>0.2</v>
      </c>
    </row>
    <row r="21" spans="1:4" x14ac:dyDescent="0.25">
      <c r="A21" t="str">
        <f t="shared" si="0"/>
        <v>AGRESSIVO-HOTELARIAS</v>
      </c>
      <c r="B21" t="s">
        <v>16</v>
      </c>
      <c r="C21" s="2" t="s">
        <v>29</v>
      </c>
      <c r="D21" s="3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BASE</vt:lpstr>
      <vt:lpstr>aporte</vt:lpstr>
      <vt:lpstr>patrimonio</vt:lpstr>
      <vt:lpstr>qtd_anos</vt:lpstr>
      <vt:lpstr>rendimento_carteira</vt:lpstr>
      <vt:lpstr>salario</vt:lpstr>
      <vt:lpstr>sugestao_investimento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2026-04-19T17:53:50Z</dcterms:created>
  <dcterms:modified xsi:type="dcterms:W3CDTF">2026-04-19T20:30:29Z</dcterms:modified>
</cp:coreProperties>
</file>